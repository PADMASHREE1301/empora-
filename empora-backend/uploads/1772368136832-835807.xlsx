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ing Summary" sheetId="1" state="visible" r:id="rId1"/>
    <sheet xmlns:r="http://schemas.openxmlformats.org/officeDocument/2006/relationships" name="Financial Model" sheetId="2" state="visible" r:id="rId2"/>
    <sheet xmlns:r="http://schemas.openxmlformats.org/officeDocument/2006/relationships" name="5-Year Proj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4A700"/>
      <sz val="11"/>
    </font>
    <font>
      <name val="Calibri"/>
      <b val="1"/>
      <color rgb="00FFFFFF"/>
      <sz val="12"/>
    </font>
    <font>
      <name val="Calibri"/>
      <b val="1"/>
      <color rgb="001A3A6B"/>
      <sz val="10"/>
    </font>
    <font>
      <name val="Calibri"/>
      <color rgb="001E293B"/>
      <sz val="10"/>
    </font>
    <font>
      <name val="Calibri"/>
      <b val="1"/>
      <color rgb="000D1B3E"/>
      <sz val="10"/>
    </font>
    <font>
      <name val="Calibri"/>
      <b val="1"/>
      <color rgb="000D6E8A"/>
      <sz val="10"/>
    </font>
    <font>
      <name val="Calibri"/>
      <color rgb="0064748B"/>
      <sz val="10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C0392B"/>
      <sz val="10"/>
    </font>
    <font>
      <name val="Calibri"/>
      <color rgb="000D1B3E"/>
      <sz val="10"/>
    </font>
    <font>
      <name val="Calibri"/>
      <color rgb="001A7A4A"/>
      <sz val="10"/>
    </font>
  </fonts>
  <fills count="9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1A3A6B"/>
      </patternFill>
    </fill>
    <fill>
      <patternFill patternType="solid">
        <fgColor rgb="000D6E8A"/>
      </patternFill>
    </fill>
    <fill>
      <patternFill patternType="solid">
        <fgColor rgb="00F5F7FB"/>
      </patternFill>
    </fill>
    <fill>
      <patternFill patternType="solid">
        <fgColor rgb="00FFFFFF"/>
      </patternFill>
    </fill>
    <fill>
      <patternFill patternType="solid">
        <fgColor rgb="00F4A700"/>
      </patternFill>
    </fill>
    <fill>
      <patternFill patternType="solid">
        <fgColor rgb="00EFF4FA"/>
      </patternFill>
    </fill>
  </fills>
  <borders count="2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Growth (INR Lakhs)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'Financial Model'!$B$2:$G$2</f>
            </numRef>
          </cat>
          <val>
            <numRef>
              <f>'Financial Model'!$B$6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'Financial Model'!$B$2:$G$2</f>
            </numRef>
          </cat>
          <val>
            <numRef>
              <f>'Financial Model'!$C$6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'Financial Model'!$B$2:$G$2</f>
            </numRef>
          </cat>
          <val>
            <numRef>
              <f>'Financial Model'!$D$6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'Financial Model'!$B$2:$G$2</f>
            </numRef>
          </cat>
          <val>
            <numRef>
              <f>'Financial Model'!$E$6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'Financial Model'!$B$2:$G$2</f>
            </numRef>
          </cat>
          <val>
            <numRef>
              <f>'Financial Model'!$F$6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'Financial Model'!$B$2:$G$2</f>
            </numRef>
          </cat>
          <val>
            <numRef>
              <f>'Financial Model'!$G$6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INR Lakhs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28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8" customWidth="1" min="3" max="3"/>
    <col width="18" customWidth="1" min="4" max="4"/>
  </cols>
  <sheetData>
    <row r="1" ht="50" customHeight="1">
      <c r="A1" s="1" t="inlineStr">
        <is>
          <t>NovaMed AI — Valuation &amp; Funding Summary</t>
        </is>
      </c>
    </row>
    <row r="2" ht="22" customHeight="1">
      <c r="A2" s="2" t="inlineStr">
        <is>
          <t>Series A Round  |  January 2026  |  CONFIDENTIAL</t>
        </is>
      </c>
    </row>
    <row r="4" ht="24" customHeight="1">
      <c r="A4" s="3" t="inlineStr">
        <is>
          <t>FUNDING TERMS</t>
        </is>
      </c>
    </row>
    <row r="5" ht="22" customHeight="1">
      <c r="A5" s="4" t="inlineStr">
        <is>
          <t>Required Funding</t>
        </is>
      </c>
      <c r="B5" s="5" t="inlineStr">
        <is>
          <t>USD 3,000,000</t>
        </is>
      </c>
      <c r="C5" s="5" t="inlineStr">
        <is>
          <t>INR 25 Crore</t>
        </is>
      </c>
      <c r="D5" s="5" t="inlineStr">
        <is>
          <t>Series A</t>
        </is>
      </c>
    </row>
    <row r="6" ht="22" customHeight="1">
      <c r="A6" s="6" t="inlineStr">
        <is>
          <t>Equity Offered</t>
        </is>
      </c>
      <c r="B6" s="7" t="inlineStr">
        <is>
          <t>15%</t>
        </is>
      </c>
      <c r="C6" s="7" t="inlineStr">
        <is>
          <t>CCPS</t>
        </is>
      </c>
      <c r="D6" s="7" t="inlineStr">
        <is>
          <t>Compulsorily Convertible Preference Shares</t>
        </is>
      </c>
    </row>
    <row r="7" ht="22" customHeight="1">
      <c r="A7" s="4" t="inlineStr">
        <is>
          <t>Pre-Money Valuation</t>
        </is>
      </c>
      <c r="B7" s="5" t="inlineStr">
        <is>
          <t>USD 17,000,000</t>
        </is>
      </c>
      <c r="C7" s="5" t="inlineStr">
        <is>
          <t>INR 142 Crore</t>
        </is>
      </c>
      <c r="D7" s="5" t="inlineStr">
        <is>
          <t>Blended DCF + Revenue Multiple</t>
        </is>
      </c>
    </row>
    <row r="8" ht="22" customHeight="1">
      <c r="A8" s="6" t="inlineStr">
        <is>
          <t>Post-Money Valuation</t>
        </is>
      </c>
      <c r="B8" s="7" t="inlineStr">
        <is>
          <t>USD 20,000,000</t>
        </is>
      </c>
      <c r="C8" s="7" t="inlineStr">
        <is>
          <t>INR 167 Crore</t>
        </is>
      </c>
      <c r="D8" s="7" t="inlineStr">
        <is>
          <t>Post investment</t>
        </is>
      </c>
    </row>
    <row r="9" ht="22" customHeight="1">
      <c r="A9" s="4" t="inlineStr">
        <is>
          <t>Liquidation Preference</t>
        </is>
      </c>
      <c r="B9" s="5" t="inlineStr">
        <is>
          <t>1x Non-Participating</t>
        </is>
      </c>
      <c r="C9" s="5" t="inlineStr"/>
      <c r="D9" s="5" t="inlineStr">
        <is>
          <t>Investor protection</t>
        </is>
      </c>
    </row>
    <row r="10" ht="22" customHeight="1">
      <c r="A10" s="6" t="inlineStr">
        <is>
          <t>Board Seat</t>
        </is>
      </c>
      <c r="B10" s="7" t="inlineStr">
        <is>
          <t>1 Investor Director</t>
        </is>
      </c>
      <c r="C10" s="7" t="inlineStr"/>
      <c r="D10" s="7" t="inlineStr">
        <is>
          <t>Observer rights included</t>
        </is>
      </c>
    </row>
    <row r="12" ht="24" customHeight="1">
      <c r="A12" s="8" t="inlineStr">
        <is>
          <t>VALUATION METHODOLOGY</t>
        </is>
      </c>
    </row>
    <row r="13" ht="22" customHeight="1">
      <c r="A13" s="9" t="inlineStr">
        <is>
          <t>Revenue Multiple</t>
        </is>
      </c>
      <c r="B13" s="5" t="inlineStr">
        <is>
          <t>8x ARR</t>
        </is>
      </c>
      <c r="C13" s="5" t="inlineStr">
        <is>
          <t>FY26 ARR: USD 2.1M × 8x = USD 16.8M</t>
        </is>
      </c>
      <c r="D13" s="5" t="inlineStr">
        <is>
          <t>Industry standard</t>
        </is>
      </c>
    </row>
    <row r="14" ht="22" customHeight="1">
      <c r="A14" s="10" t="inlineStr">
        <is>
          <t>DCF Analysis</t>
        </is>
      </c>
      <c r="B14" s="7" t="inlineStr">
        <is>
          <t>USD 18.3M</t>
        </is>
      </c>
      <c r="C14" s="7" t="inlineStr">
        <is>
          <t>22% discount rate, 4% terminal growth, 5yr</t>
        </is>
      </c>
      <c r="D14" s="7" t="inlineStr">
        <is>
          <t>Conservative estimate</t>
        </is>
      </c>
    </row>
    <row r="15" ht="22" customHeight="1">
      <c r="A15" s="9" t="inlineStr">
        <is>
          <t>Comparable Transactions</t>
        </is>
      </c>
      <c r="B15" s="5" t="inlineStr">
        <is>
          <t>USD 15–22M</t>
        </is>
      </c>
      <c r="C15" s="5" t="inlineStr">
        <is>
          <t>Indian HealthTech Series A median 2023-24</t>
        </is>
      </c>
      <c r="D15" s="5" t="inlineStr">
        <is>
          <t>Tracxn / Venture Intel</t>
        </is>
      </c>
    </row>
    <row r="16" ht="22" customHeight="1">
      <c r="A16" s="11" t="inlineStr">
        <is>
          <t>BLENDED VALUATION</t>
        </is>
      </c>
      <c r="B16" s="12" t="inlineStr">
        <is>
          <t>USD 17.0M</t>
        </is>
      </c>
      <c r="C16" s="12" t="inlineStr">
        <is>
          <t>Pre-money (rounded)</t>
        </is>
      </c>
      <c r="D16" s="12" t="inlineStr">
        <is>
          <t>FINAL</t>
        </is>
      </c>
    </row>
    <row r="18" ht="24" customHeight="1">
      <c r="A18" s="13" t="inlineStr">
        <is>
          <t>KEY FINANCIAL RATIOS</t>
        </is>
      </c>
    </row>
    <row r="19" ht="20" customHeight="1">
      <c r="A19" s="14" t="inlineStr">
        <is>
          <t>LTV : CAC Ratio</t>
        </is>
      </c>
      <c r="B19" s="15" t="inlineStr">
        <is>
          <t>14.8x</t>
        </is>
      </c>
      <c r="C19" s="16" t="inlineStr">
        <is>
          <t>Excellent — industry benchmark &gt;3x</t>
        </is>
      </c>
    </row>
    <row r="20" ht="20" customHeight="1">
      <c r="A20" s="17" t="inlineStr">
        <is>
          <t>Customer Acquisition Cost</t>
        </is>
      </c>
      <c r="B20" s="18" t="inlineStr">
        <is>
          <t>INR 4,200 / clinic</t>
        </is>
      </c>
      <c r="C20" s="19" t="inlineStr">
        <is>
          <t>Hardware + sales cost</t>
        </is>
      </c>
    </row>
    <row r="21" ht="20" customHeight="1">
      <c r="A21" s="14" t="inlineStr">
        <is>
          <t>Lifetime Value</t>
        </is>
      </c>
      <c r="B21" s="15" t="inlineStr">
        <is>
          <t>INR 62,000 / clinic</t>
        </is>
      </c>
      <c r="C21" s="16" t="inlineStr">
        <is>
          <t>36-month avg contract</t>
        </is>
      </c>
    </row>
    <row r="22" ht="20" customHeight="1">
      <c r="A22" s="17" t="inlineStr">
        <is>
          <t>Payback Period</t>
        </is>
      </c>
      <c r="B22" s="18" t="inlineStr">
        <is>
          <t>5.2 months</t>
        </is>
      </c>
      <c r="C22" s="19" t="inlineStr">
        <is>
          <t>Time to recover CAC</t>
        </is>
      </c>
    </row>
    <row r="23" ht="20" customHeight="1">
      <c r="A23" s="14" t="inlineStr">
        <is>
          <t>Monthly Recurring Revenue</t>
        </is>
      </c>
      <c r="B23" s="15" t="inlineStr">
        <is>
          <t>USD 9,860</t>
        </is>
      </c>
      <c r="C23" s="16" t="inlineStr">
        <is>
          <t>As of Dec 2024</t>
        </is>
      </c>
    </row>
    <row r="24" ht="20" customHeight="1">
      <c r="A24" s="17" t="inlineStr">
        <is>
          <t>Gross Margin (latest)</t>
        </is>
      </c>
      <c r="B24" s="18" t="inlineStr">
        <is>
          <t>50.6%</t>
        </is>
      </c>
      <c r="C24" s="19" t="inlineStr">
        <is>
          <t>FY25 9-month figure</t>
        </is>
      </c>
    </row>
    <row r="25" ht="20" customHeight="1">
      <c r="A25" s="14" t="inlineStr">
        <is>
          <t>Burn Rate</t>
        </is>
      </c>
      <c r="B25" s="15" t="inlineStr">
        <is>
          <t>INR 8.5L / month</t>
        </is>
      </c>
      <c r="C25" s="16" t="inlineStr">
        <is>
          <t>Pre-Series A</t>
        </is>
      </c>
    </row>
    <row r="26" ht="20" customHeight="1">
      <c r="A26" s="17" t="inlineStr">
        <is>
          <t>Runway (pre-raise)</t>
        </is>
      </c>
      <c r="B26" s="18" t="inlineStr">
        <is>
          <t>14 months</t>
        </is>
      </c>
      <c r="C26" s="19" t="inlineStr">
        <is>
          <t>As of Jan 2026</t>
        </is>
      </c>
    </row>
  </sheetData>
  <mergeCells count="13">
    <mergeCell ref="A1:D1"/>
    <mergeCell ref="C20:D20"/>
    <mergeCell ref="A18:D18"/>
    <mergeCell ref="C21:D21"/>
    <mergeCell ref="C24:D24"/>
    <mergeCell ref="A12:D12"/>
    <mergeCell ref="A4:D4"/>
    <mergeCell ref="C25:D25"/>
    <mergeCell ref="C19:D19"/>
    <mergeCell ref="C26:D26"/>
    <mergeCell ref="C22:D22"/>
    <mergeCell ref="A2:D2"/>
    <mergeCell ref="C23:D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40" customHeight="1">
      <c r="A1" s="20" t="inlineStr">
        <is>
          <t>NovaMed AI — Financial Model (INR Lakhs)</t>
        </is>
      </c>
    </row>
    <row r="2" ht="24" customHeight="1">
      <c r="A2" s="21" t="inlineStr">
        <is>
          <t>Metric</t>
        </is>
      </c>
      <c r="B2" s="22" t="inlineStr">
        <is>
          <t>FY22-23</t>
        </is>
      </c>
      <c r="C2" s="22" t="inlineStr">
        <is>
          <t>FY23-24</t>
        </is>
      </c>
      <c r="D2" s="22" t="inlineStr">
        <is>
          <t>FY24-25 (9M)</t>
        </is>
      </c>
      <c r="E2" s="22" t="inlineStr">
        <is>
          <t>FY25-26 (P)</t>
        </is>
      </c>
      <c r="F2" s="22" t="inlineStr">
        <is>
          <t>FY26-27 (P)</t>
        </is>
      </c>
      <c r="G2" s="22" t="inlineStr">
        <is>
          <t>FY27-28 (P)</t>
        </is>
      </c>
    </row>
    <row r="3" ht="20" customHeight="1">
      <c r="A3" s="23" t="inlineStr">
        <is>
          <t>REVENUE</t>
        </is>
      </c>
      <c r="B3" s="24" t="n"/>
      <c r="C3" s="24" t="n"/>
      <c r="D3" s="24" t="n"/>
      <c r="E3" s="24" t="n"/>
      <c r="F3" s="24" t="n"/>
      <c r="G3" s="24" t="n"/>
    </row>
    <row r="4" ht="20" customHeight="1">
      <c r="A4" s="9" t="inlineStr">
        <is>
          <t>Hardware Revenue</t>
        </is>
      </c>
      <c r="B4" s="5" t="n">
        <v>7.4</v>
      </c>
      <c r="C4" s="5" t="n">
        <v>22.1</v>
      </c>
      <c r="D4" s="5" t="n">
        <v>38.2</v>
      </c>
      <c r="E4" s="5" t="n">
        <v>96</v>
      </c>
      <c r="F4" s="5" t="n">
        <v>264</v>
      </c>
      <c r="G4" s="5" t="n">
        <v>600</v>
      </c>
    </row>
    <row r="5" ht="20" customHeight="1">
      <c r="A5" s="10" t="inlineStr">
        <is>
          <t>SaaS Subscription Revenue</t>
        </is>
      </c>
      <c r="B5" s="7" t="n">
        <v>5</v>
      </c>
      <c r="C5" s="7" t="n">
        <v>26.5</v>
      </c>
      <c r="D5" s="7" t="n">
        <v>47</v>
      </c>
      <c r="E5" s="7" t="n">
        <v>162</v>
      </c>
      <c r="F5" s="7" t="n">
        <v>501</v>
      </c>
      <c r="G5" s="7" t="n">
        <v>1140</v>
      </c>
    </row>
    <row r="6" ht="20" customHeight="1">
      <c r="A6" s="9" t="inlineStr">
        <is>
          <t>Other Revenue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1.8</v>
      </c>
      <c r="G6" s="5" t="n">
        <v>0</v>
      </c>
    </row>
    <row r="7" ht="20" customHeight="1">
      <c r="A7" s="25" t="inlineStr">
        <is>
          <t>TOTAL REVENUE</t>
        </is>
      </c>
      <c r="B7" s="26" t="n">
        <v>12.4</v>
      </c>
      <c r="C7" s="26" t="n">
        <v>48.6</v>
      </c>
      <c r="D7" s="26" t="n">
        <v>85.2</v>
      </c>
      <c r="E7" s="26" t="n">
        <v>258</v>
      </c>
      <c r="F7" s="26" t="n">
        <v>765</v>
      </c>
      <c r="G7" s="26" t="n">
        <v>1740</v>
      </c>
    </row>
    <row r="8" ht="20" customHeight="1">
      <c r="A8" s="27" t="inlineStr"/>
      <c r="B8" s="28" t="n"/>
      <c r="C8" s="28" t="n"/>
      <c r="D8" s="28" t="n"/>
      <c r="E8" s="28" t="n"/>
      <c r="F8" s="28" t="n"/>
      <c r="G8" s="28" t="n"/>
    </row>
    <row r="9" ht="20" customHeight="1">
      <c r="A9" s="23" t="inlineStr">
        <is>
          <t>COSTS</t>
        </is>
      </c>
      <c r="B9" s="24" t="n"/>
      <c r="C9" s="24" t="n"/>
      <c r="D9" s="24" t="n"/>
      <c r="E9" s="24" t="n"/>
      <c r="F9" s="24" t="n"/>
      <c r="G9" s="24" t="n"/>
    </row>
    <row r="10" ht="20" customHeight="1">
      <c r="A10" s="9" t="inlineStr">
        <is>
          <t>Cost of Goods Sold</t>
        </is>
      </c>
      <c r="B10" s="5" t="n">
        <v>9.1</v>
      </c>
      <c r="C10" s="5" t="n">
        <v>28.3</v>
      </c>
      <c r="D10" s="5" t="n">
        <v>42.1</v>
      </c>
      <c r="E10" s="5" t="n">
        <v>129</v>
      </c>
      <c r="F10" s="5" t="n">
        <v>382.5</v>
      </c>
      <c r="G10" s="5" t="n">
        <v>696</v>
      </c>
    </row>
    <row r="11" ht="20" customHeight="1">
      <c r="A11" s="25" t="inlineStr">
        <is>
          <t>GROSS PROFIT</t>
        </is>
      </c>
      <c r="B11" s="26" t="n">
        <v>3.3</v>
      </c>
      <c r="C11" s="26" t="n">
        <v>20.3</v>
      </c>
      <c r="D11" s="26" t="n">
        <v>43.1</v>
      </c>
      <c r="E11" s="26" t="n">
        <v>129</v>
      </c>
      <c r="F11" s="26" t="n">
        <v>382.5</v>
      </c>
      <c r="G11" s="26" t="n">
        <v>1044</v>
      </c>
    </row>
    <row r="12" ht="20" customHeight="1">
      <c r="A12" s="9" t="inlineStr">
        <is>
          <t>Gross Margin %</t>
        </is>
      </c>
      <c r="B12" s="5" t="inlineStr">
        <is>
          <t>26.6%</t>
        </is>
      </c>
      <c r="C12" s="5" t="inlineStr">
        <is>
          <t>41.8%</t>
        </is>
      </c>
      <c r="D12" s="5" t="inlineStr">
        <is>
          <t>50.6%</t>
        </is>
      </c>
      <c r="E12" s="5" t="inlineStr">
        <is>
          <t>50.0%</t>
        </is>
      </c>
      <c r="F12" s="5" t="inlineStr">
        <is>
          <t>50.0%</t>
        </is>
      </c>
      <c r="G12" s="5" t="inlineStr">
        <is>
          <t>60.0%</t>
        </is>
      </c>
    </row>
    <row r="13" ht="20" customHeight="1">
      <c r="A13" s="27" t="inlineStr"/>
      <c r="B13" s="28" t="n"/>
      <c r="C13" s="28" t="n"/>
      <c r="D13" s="28" t="n"/>
      <c r="E13" s="28" t="n"/>
      <c r="F13" s="28" t="n"/>
      <c r="G13" s="28" t="n"/>
    </row>
    <row r="14" ht="20" customHeight="1">
      <c r="A14" s="23" t="inlineStr">
        <is>
          <t>OPERATING EXPENSES</t>
        </is>
      </c>
      <c r="B14" s="24" t="n"/>
      <c r="C14" s="24" t="n"/>
      <c r="D14" s="24" t="n"/>
      <c r="E14" s="24" t="n"/>
      <c r="F14" s="24" t="n"/>
      <c r="G14" s="24" t="n"/>
    </row>
    <row r="15" ht="20" customHeight="1">
      <c r="A15" s="10" t="inlineStr">
        <is>
          <t>Sales &amp; Marketing</t>
        </is>
      </c>
      <c r="B15" s="7" t="n">
        <v>12.4</v>
      </c>
      <c r="C15" s="7" t="n">
        <v>28</v>
      </c>
      <c r="D15" s="7" t="n">
        <v>38.5</v>
      </c>
      <c r="E15" s="7" t="n">
        <v>90.3</v>
      </c>
      <c r="F15" s="7" t="n">
        <v>191.3</v>
      </c>
      <c r="G15" s="7" t="n">
        <v>348</v>
      </c>
    </row>
    <row r="16" ht="20" customHeight="1">
      <c r="A16" s="9" t="inlineStr">
        <is>
          <t>R&amp;D</t>
        </is>
      </c>
      <c r="B16" s="5" t="n">
        <v>10.2</v>
      </c>
      <c r="C16" s="5" t="n">
        <v>18.6</v>
      </c>
      <c r="D16" s="5" t="n">
        <v>22.4</v>
      </c>
      <c r="E16" s="5" t="n">
        <v>75</v>
      </c>
      <c r="F16" s="5" t="n">
        <v>150</v>
      </c>
      <c r="G16" s="5" t="n">
        <v>260</v>
      </c>
    </row>
    <row r="17" ht="20" customHeight="1">
      <c r="A17" s="10" t="inlineStr">
        <is>
          <t>G&amp;A</t>
        </is>
      </c>
      <c r="B17" s="7" t="n">
        <v>8.6</v>
      </c>
      <c r="C17" s="7" t="n">
        <v>15.8</v>
      </c>
      <c r="D17" s="7" t="n">
        <v>17.6</v>
      </c>
      <c r="E17" s="7" t="n">
        <v>36</v>
      </c>
      <c r="F17" s="7" t="n">
        <v>72</v>
      </c>
      <c r="G17" s="7" t="n">
        <v>130</v>
      </c>
    </row>
    <row r="18" ht="20" customHeight="1">
      <c r="A18" s="25" t="inlineStr">
        <is>
          <t>TOTAL OPEX</t>
        </is>
      </c>
      <c r="B18" s="26" t="n">
        <v>31.2</v>
      </c>
      <c r="C18" s="26" t="n">
        <v>62.4</v>
      </c>
      <c r="D18" s="26" t="n">
        <v>78.5</v>
      </c>
      <c r="E18" s="26" t="n">
        <v>201.3</v>
      </c>
      <c r="F18" s="26" t="n">
        <v>413.3</v>
      </c>
      <c r="G18" s="26" t="n">
        <v>738</v>
      </c>
    </row>
    <row r="19" ht="20" customHeight="1">
      <c r="A19" s="27" t="inlineStr"/>
      <c r="B19" s="28" t="n"/>
      <c r="C19" s="28" t="n"/>
      <c r="D19" s="28" t="n"/>
      <c r="E19" s="28" t="n"/>
      <c r="F19" s="28" t="n"/>
      <c r="G19" s="28" t="n"/>
    </row>
    <row r="20" ht="20" customHeight="1">
      <c r="A20" s="25" t="inlineStr">
        <is>
          <t>EBITDA</t>
        </is>
      </c>
      <c r="B20" s="26" t="n">
        <v>-27.9</v>
      </c>
      <c r="C20" s="26" t="n">
        <v>-42.1</v>
      </c>
      <c r="D20" s="26" t="n">
        <v>-35.4</v>
      </c>
      <c r="E20" s="26" t="n">
        <v>-72.3</v>
      </c>
      <c r="F20" s="26" t="n">
        <v>-30.8</v>
      </c>
      <c r="G20" s="26" t="n">
        <v>306</v>
      </c>
    </row>
    <row r="21" ht="20" customHeight="1">
      <c r="A21" s="10" t="inlineStr">
        <is>
          <t>EBITDA Margin %</t>
        </is>
      </c>
      <c r="B21" s="29" t="inlineStr">
        <is>
          <t>-225%</t>
        </is>
      </c>
      <c r="C21" s="29" t="inlineStr">
        <is>
          <t>-87%</t>
        </is>
      </c>
      <c r="D21" s="29" t="inlineStr">
        <is>
          <t>-42%</t>
        </is>
      </c>
      <c r="E21" s="29" t="inlineStr">
        <is>
          <t>-28%</t>
        </is>
      </c>
      <c r="F21" s="29" t="inlineStr">
        <is>
          <t>-4%</t>
        </is>
      </c>
      <c r="G21" s="7" t="inlineStr">
        <is>
          <t>18%</t>
        </is>
      </c>
    </row>
    <row r="22" ht="20" customHeight="1">
      <c r="A22" s="27" t="inlineStr"/>
      <c r="B22" s="28" t="n"/>
      <c r="C22" s="28" t="n"/>
      <c r="D22" s="28" t="n"/>
      <c r="E22" s="28" t="n"/>
      <c r="F22" s="28" t="n"/>
      <c r="G22" s="28" t="n"/>
    </row>
    <row r="23" ht="20" customHeight="1">
      <c r="A23" s="23" t="inlineStr">
        <is>
          <t>OPERATIONAL METRICS</t>
        </is>
      </c>
      <c r="B23" s="24" t="n"/>
      <c r="C23" s="24" t="n"/>
      <c r="D23" s="24" t="n"/>
      <c r="E23" s="24" t="n"/>
      <c r="F23" s="24" t="n"/>
      <c r="G23" s="24" t="n"/>
    </row>
    <row r="24" ht="20" customHeight="1">
      <c r="A24" s="9" t="inlineStr">
        <is>
          <t>Active Clinics (EOP)</t>
        </is>
      </c>
      <c r="B24" s="5" t="n">
        <v>42</v>
      </c>
      <c r="C24" s="5" t="n">
        <v>180</v>
      </c>
      <c r="D24" s="5" t="n">
        <v>340</v>
      </c>
      <c r="E24" s="5" t="n">
        <v>800</v>
      </c>
      <c r="F24" s="5" t="n">
        <v>2200</v>
      </c>
      <c r="G24" s="5" t="n">
        <v>5000</v>
      </c>
    </row>
    <row r="25" ht="20" customHeight="1">
      <c r="A25" s="10" t="inlineStr">
        <is>
          <t>New Clinics Added</t>
        </is>
      </c>
      <c r="B25" s="7" t="n">
        <v>42</v>
      </c>
      <c r="C25" s="7" t="n">
        <v>138</v>
      </c>
      <c r="D25" s="7" t="n">
        <v>160</v>
      </c>
      <c r="E25" s="7" t="n">
        <v>460</v>
      </c>
      <c r="F25" s="7" t="n">
        <v>1400</v>
      </c>
      <c r="G25" s="7" t="n">
        <v>2800</v>
      </c>
    </row>
    <row r="26" ht="20" customHeight="1">
      <c r="A26" s="9" t="inlineStr">
        <is>
          <t>MRR (USD)</t>
        </is>
      </c>
      <c r="B26" s="5" t="n">
        <v>1218</v>
      </c>
      <c r="C26" s="5" t="n">
        <v>5220</v>
      </c>
      <c r="D26" s="5" t="n">
        <v>9860</v>
      </c>
      <c r="E26" s="5" t="n">
        <v>23200</v>
      </c>
      <c r="F26" s="5" t="n">
        <v>63800</v>
      </c>
      <c r="G26" s="5" t="n">
        <v>145000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30" t="inlineStr">
        <is>
          <t>NovaMed AI — 5-Year Growth Projections</t>
        </is>
      </c>
    </row>
    <row r="2" ht="24" customHeight="1">
      <c r="A2" s="21" t="inlineStr">
        <is>
          <t>Metric</t>
        </is>
      </c>
      <c r="B2" s="21" t="inlineStr">
        <is>
          <t>FY25-26</t>
        </is>
      </c>
      <c r="C2" s="21" t="inlineStr">
        <is>
          <t>FY26-27</t>
        </is>
      </c>
      <c r="D2" s="21" t="inlineStr">
        <is>
          <t>FY27-28</t>
        </is>
      </c>
      <c r="E2" s="21" t="inlineStr">
        <is>
          <t>FY28-29</t>
        </is>
      </c>
      <c r="F2" s="21" t="inlineStr">
        <is>
          <t>FY29-30</t>
        </is>
      </c>
    </row>
    <row r="3" ht="22" customHeight="1">
      <c r="A3" s="14" t="inlineStr">
        <is>
          <t>Active Clinics</t>
        </is>
      </c>
      <c r="B3" s="31" t="n">
        <v>800</v>
      </c>
      <c r="C3" s="31" t="n">
        <v>2200</v>
      </c>
      <c r="D3" s="31" t="n">
        <v>5000</v>
      </c>
      <c r="E3" s="31" t="n">
        <v>8500</v>
      </c>
      <c r="F3" s="31" t="n">
        <v>13000</v>
      </c>
    </row>
    <row r="4" ht="22" customHeight="1">
      <c r="A4" s="17" t="inlineStr">
        <is>
          <t>Revenue (USD)</t>
        </is>
      </c>
      <c r="B4" s="32" t="n">
        <v>310000</v>
      </c>
      <c r="C4" s="32" t="n">
        <v>920000</v>
      </c>
      <c r="D4" s="32" t="n">
        <v>2100000</v>
      </c>
      <c r="E4" s="32" t="n">
        <v>3800000</v>
      </c>
      <c r="F4" s="32" t="n">
        <v>6200000</v>
      </c>
    </row>
    <row r="5" ht="22" customHeight="1">
      <c r="A5" s="14" t="inlineStr">
        <is>
          <t>ARR (USD)</t>
        </is>
      </c>
      <c r="B5" s="31" t="n">
        <v>278400</v>
      </c>
      <c r="C5" s="31" t="n">
        <v>766800</v>
      </c>
      <c r="D5" s="31" t="n">
        <v>1740000</v>
      </c>
      <c r="E5" s="31" t="n">
        <v>2958000</v>
      </c>
      <c r="F5" s="31" t="n">
        <v>4524000</v>
      </c>
    </row>
    <row r="6" ht="22" customHeight="1">
      <c r="A6" s="17" t="inlineStr">
        <is>
          <t>Gross Margin</t>
        </is>
      </c>
      <c r="B6" s="32" t="inlineStr">
        <is>
          <t>50%</t>
        </is>
      </c>
      <c r="C6" s="32" t="inlineStr">
        <is>
          <t>50%</t>
        </is>
      </c>
      <c r="D6" s="32" t="inlineStr">
        <is>
          <t>60%</t>
        </is>
      </c>
      <c r="E6" s="32" t="inlineStr">
        <is>
          <t>62%</t>
        </is>
      </c>
      <c r="F6" s="32" t="inlineStr">
        <is>
          <t>65%</t>
        </is>
      </c>
    </row>
    <row r="7" ht="22" customHeight="1">
      <c r="A7" s="14" t="inlineStr">
        <is>
          <t>EBITDA Margin</t>
        </is>
      </c>
      <c r="B7" s="33" t="inlineStr">
        <is>
          <t>-28%</t>
        </is>
      </c>
      <c r="C7" s="33" t="inlineStr">
        <is>
          <t>-4%</t>
        </is>
      </c>
      <c r="D7" s="34" t="inlineStr">
        <is>
          <t>+18%</t>
        </is>
      </c>
      <c r="E7" s="34" t="inlineStr">
        <is>
          <t>+24%</t>
        </is>
      </c>
      <c r="F7" s="34" t="inlineStr">
        <is>
          <t>+31%</t>
        </is>
      </c>
    </row>
    <row r="8" ht="22" customHeight="1">
      <c r="A8" s="17" t="inlineStr">
        <is>
          <t>Headcount</t>
        </is>
      </c>
      <c r="B8" s="32" t="n">
        <v>65</v>
      </c>
      <c r="C8" s="32" t="n">
        <v>120</v>
      </c>
      <c r="D8" s="32" t="n">
        <v>210</v>
      </c>
      <c r="E8" s="32" t="n">
        <v>350</v>
      </c>
      <c r="F8" s="32" t="n">
        <v>520</v>
      </c>
    </row>
    <row r="9" ht="22" customHeight="1">
      <c r="A9" s="14" t="inlineStr">
        <is>
          <t>New States Launched</t>
        </is>
      </c>
      <c r="B9" s="31" t="n">
        <v>5</v>
      </c>
      <c r="C9" s="31" t="n">
        <v>8</v>
      </c>
      <c r="D9" s="31" t="n">
        <v>12</v>
      </c>
      <c r="E9" s="31" t="n">
        <v>16</v>
      </c>
      <c r="F9" s="31" t="n">
        <v>18</v>
      </c>
    </row>
    <row r="10" ht="22" customHeight="1">
      <c r="A10" s="17" t="inlineStr">
        <is>
          <t>Insurance Partners</t>
        </is>
      </c>
      <c r="B10" s="32" t="n">
        <v>0</v>
      </c>
      <c r="C10" s="32" t="n">
        <v>3</v>
      </c>
      <c r="D10" s="32" t="n">
        <v>8</v>
      </c>
      <c r="E10" s="32" t="n">
        <v>15</v>
      </c>
      <c r="F10" s="32" t="n">
        <v>24</v>
      </c>
    </row>
    <row r="13" ht="24" customHeight="1">
      <c r="A13" s="8" t="inlineStr">
        <is>
          <t>KEY MILESTONES BY YEAR</t>
        </is>
      </c>
    </row>
    <row r="14" ht="26" customHeight="1">
      <c r="A14" s="24" t="inlineStr">
        <is>
          <t>Q1 FY26</t>
        </is>
      </c>
      <c r="B14" s="9" t="inlineStr">
        <is>
          <t>Close Series A, hire 40 field staff, launch 3 new states (UP, Bihar, MP)</t>
        </is>
      </c>
    </row>
    <row r="15" ht="26" customHeight="1">
      <c r="A15" s="24" t="inlineStr">
        <is>
          <t>Q2 FY26</t>
        </is>
      </c>
      <c r="B15" s="10" t="inlineStr">
        <is>
          <t>NovaScan v2 launch (ECG + SpO2). CDSCO Class B approval milestone</t>
        </is>
      </c>
    </row>
    <row r="16" ht="26" customHeight="1">
      <c r="A16" s="24" t="inlineStr">
        <is>
          <t>Q3 FY26</t>
        </is>
      </c>
      <c r="B16" s="9" t="inlineStr">
        <is>
          <t>Reach 1,000 active clinics. Launch insurance data product (3 partners)</t>
        </is>
      </c>
    </row>
    <row r="17" ht="26" customHeight="1">
      <c r="A17" s="24" t="inlineStr">
        <is>
          <t>Q4 FY26</t>
        </is>
      </c>
      <c r="B17" s="10" t="inlineStr">
        <is>
          <t>Begin Southeast Asia pilot (Bangladesh, Sri Lanka). File PCT patent</t>
        </is>
      </c>
    </row>
    <row r="18" ht="26" customHeight="1">
      <c r="A18" s="24" t="inlineStr">
        <is>
          <t>FY27</t>
        </is>
      </c>
      <c r="B18" s="9" t="inlineStr">
        <is>
          <t>EBITDA breakeven at 2,200 clinics. Explore Series B fundraise</t>
        </is>
      </c>
    </row>
    <row r="19" ht="26" customHeight="1">
      <c r="A19" s="24" t="inlineStr">
        <is>
          <t>FY28</t>
        </is>
      </c>
      <c r="B19" s="10" t="inlineStr">
        <is>
          <t>5,000 clinics. USD 2.1M revenue. International expansion — 3 countries</t>
        </is>
      </c>
    </row>
  </sheetData>
  <mergeCells count="8">
    <mergeCell ref="A13:F13"/>
    <mergeCell ref="B16:F16"/>
    <mergeCell ref="B15:F15"/>
    <mergeCell ref="A1:F1"/>
    <mergeCell ref="B19:F19"/>
    <mergeCell ref="B14:F14"/>
    <mergeCell ref="B17:F17"/>
    <mergeCell ref="B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2026-03-01T08:45:57Z</dcterms:created>
  <dcterms:modified xmlns:dcterms="http://purl.org/dc/terms/" xmlns:xsi="http://www.w3.org/2001/XMLSchema-instance" xsi:type="dcterms:W3CDTF">2026-03-01T08:45:57Z</dcterms:modified>
</cp:coreProperties>
</file>