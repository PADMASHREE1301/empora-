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Summary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5-Year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0.0&quot;x&quot;"/>
    <numFmt numFmtId="166" formatCode="0.0%"/>
    <numFmt numFmtId="167" formatCode="#,##0.0"/>
    <numFmt numFmtId="168" formatCode="#,##0.0;(#,##0.0)"/>
    <numFmt numFmtId="169" formatCode="0.0%;(0.0%)"/>
    <numFmt numFmtId="170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4A7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4A700"/>
      <sz val="10"/>
    </font>
    <font>
      <name val="Arial"/>
      <b val="1"/>
      <color rgb="00FFFFFF"/>
      <sz val="13"/>
    </font>
    <font>
      <name val="Arial"/>
      <i val="1"/>
      <color rgb="00F4A700"/>
      <sz val="9"/>
    </font>
    <font>
      <name val="Arial"/>
      <color rgb="000D1B3E"/>
      <sz val="10"/>
    </font>
    <font>
      <name val="Arial"/>
      <b val="1"/>
      <color rgb="000D1B3E"/>
      <sz val="10"/>
    </font>
    <font>
      <name val="Arial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A3A6B"/>
      </patternFill>
    </fill>
    <fill>
      <patternFill patternType="solid">
        <fgColor rgb="000D6E8A"/>
      </patternFill>
    </fill>
    <fill>
      <patternFill patternType="solid">
        <fgColor rgb="00EFF4FA"/>
      </patternFill>
    </fill>
    <fill>
      <patternFill patternType="solid">
        <fgColor rgb="00F5F7FB"/>
      </patternFill>
    </fill>
    <fill>
      <patternFill patternType="solid">
        <fgColor rgb="00FFFFFF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D0DCF0"/>
      </left>
      <right style="thin">
        <color rgb="00D0DCF0"/>
      </right>
      <top style="thin">
        <color rgb="00D0DCF0"/>
      </top>
      <bottom style="thin">
        <color rgb="00D0DCF0"/>
      </bottom>
    </border>
    <border>
      <left/>
      <right/>
      <top style="thin">
        <color rgb="00D0DCF0"/>
      </top>
      <bottom/>
      <diagonal/>
    </border>
    <border>
      <left/>
      <right style="thin">
        <color rgb="00D0DCF0"/>
      </right>
      <top style="thin">
        <color rgb="00D0DCF0"/>
      </top>
      <bottom/>
      <diagonal/>
    </border>
    <border>
      <left/>
      <right/>
      <top style="thin">
        <color rgb="00D0DCF0"/>
      </top>
      <bottom style="thin">
        <color rgb="00D0DCF0"/>
      </bottom>
      <diagonal/>
    </border>
    <border>
      <left/>
      <right style="thin">
        <color rgb="00D0DCF0"/>
      </right>
      <top style="thin">
        <color rgb="00D0DCF0"/>
      </top>
      <bottom style="thin">
        <color rgb="00D0DCF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167" fontId="6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167" fontId="6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169" fontId="7" fillId="6" borderId="1" applyAlignment="1" pivotButton="0" quotePrefix="0" xfId="0">
      <alignment horizontal="center" vertical="center"/>
    </xf>
    <xf numFmtId="169" fontId="13" fillId="6" borderId="1" applyAlignment="1" pivotButton="0" quotePrefix="0" xfId="0">
      <alignment horizontal="center" vertical="center"/>
    </xf>
    <xf numFmtId="169" fontId="6" fillId="6" borderId="1" applyAlignment="1" pivotButton="0" quotePrefix="0" xfId="0">
      <alignment horizontal="center" vertical="center"/>
    </xf>
    <xf numFmtId="17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30" customWidth="1" min="4" max="4"/>
  </cols>
  <sheetData>
    <row r="1" ht="30" customHeight="1">
      <c r="A1" s="1" t="inlineStr">
        <is>
          <t>NovaMed AI — Series A Funding Summary</t>
        </is>
      </c>
    </row>
    <row r="2" ht="18" customHeight="1">
      <c r="A2" s="2" t="inlineStr">
        <is>
          <t>January 2026  |  Confidential  |  DPIIT No. DIPP132847</t>
        </is>
      </c>
    </row>
    <row r="3" ht="8" customHeight="1"/>
    <row r="4">
      <c r="A4" s="3" t="inlineStr">
        <is>
          <t>1. FUNDING TERMS</t>
        </is>
      </c>
    </row>
    <row r="5">
      <c r="A5" s="4" t="inlineStr">
        <is>
          <t>Term</t>
        </is>
      </c>
      <c r="B5" s="4" t="inlineStr">
        <is>
          <t>Value</t>
        </is>
      </c>
      <c r="C5" s="4" t="inlineStr">
        <is>
          <t>Currency</t>
        </is>
      </c>
      <c r="D5" s="4" t="inlineStr">
        <is>
          <t>Notes</t>
        </is>
      </c>
    </row>
    <row r="6">
      <c r="A6" s="5" t="inlineStr">
        <is>
          <t>Required Funding</t>
        </is>
      </c>
      <c r="B6" s="6" t="n">
        <v>3000000</v>
      </c>
      <c r="C6" s="7" t="inlineStr">
        <is>
          <t>USD</t>
        </is>
      </c>
      <c r="D6" s="8" t="inlineStr">
        <is>
          <t>Series A round</t>
        </is>
      </c>
    </row>
    <row r="7">
      <c r="A7" s="5" t="inlineStr">
        <is>
          <t>Equity Offered</t>
        </is>
      </c>
      <c r="B7" s="9" t="inlineStr">
        <is>
          <t>15%</t>
        </is>
      </c>
      <c r="C7" s="9" t="inlineStr">
        <is>
          <t>CCPS</t>
        </is>
      </c>
      <c r="D7" s="10" t="inlineStr">
        <is>
          <t>Compulsorily Convertible Preference Shares</t>
        </is>
      </c>
    </row>
    <row r="8">
      <c r="A8" s="5" t="inlineStr">
        <is>
          <t>Pre-Money Valuation</t>
        </is>
      </c>
      <c r="B8" s="6" t="n">
        <v>17000000</v>
      </c>
      <c r="C8" s="7" t="inlineStr">
        <is>
          <t>USD</t>
        </is>
      </c>
      <c r="D8" s="8" t="inlineStr">
        <is>
          <t>Blended DCF + 8x ARR multiple</t>
        </is>
      </c>
    </row>
    <row r="9">
      <c r="A9" s="5" t="inlineStr">
        <is>
          <t>Post-Money Valuation</t>
        </is>
      </c>
      <c r="B9" s="11" t="n">
        <v>20000000</v>
      </c>
      <c r="C9" s="9" t="inlineStr">
        <is>
          <t>USD</t>
        </is>
      </c>
      <c r="D9" s="10">
        <f>Pre-money + funding raised</f>
        <v/>
      </c>
    </row>
    <row r="10">
      <c r="A10" s="5" t="inlineStr">
        <is>
          <t>Liquidation Preference</t>
        </is>
      </c>
      <c r="B10" s="7" t="inlineStr">
        <is>
          <t>1x Non-Participating</t>
        </is>
      </c>
      <c r="C10" s="7" t="inlineStr"/>
      <c r="D10" s="8" t="inlineStr">
        <is>
          <t>Standard investor protection</t>
        </is>
      </c>
    </row>
    <row r="11">
      <c r="A11" s="5" t="inlineStr">
        <is>
          <t>Board Seat</t>
        </is>
      </c>
      <c r="B11" s="9" t="inlineStr">
        <is>
          <t>1 Director</t>
        </is>
      </c>
      <c r="C11" s="9" t="inlineStr"/>
      <c r="D11" s="10" t="inlineStr">
        <is>
          <t>Observer rights also included</t>
        </is>
      </c>
    </row>
    <row r="12" ht="8" customHeight="1"/>
    <row r="13">
      <c r="A13" s="3" t="inlineStr">
        <is>
          <t>2. VALUATION METHODOLOGY</t>
        </is>
      </c>
    </row>
    <row r="14">
      <c r="A14" s="4" t="inlineStr">
        <is>
          <t>Method</t>
        </is>
      </c>
      <c r="B14" s="4" t="inlineStr">
        <is>
          <t>Value (USD)</t>
        </is>
      </c>
      <c r="C14" s="4" t="inlineStr">
        <is>
          <t>Basis</t>
        </is>
      </c>
      <c r="D14" s="4" t="inlineStr">
        <is>
          <t>Source</t>
        </is>
      </c>
    </row>
    <row r="15">
      <c r="A15" s="8" t="inlineStr">
        <is>
          <t>Revenue Multiple (8x ARR)</t>
        </is>
      </c>
      <c r="B15" s="6" t="n">
        <v>16800000</v>
      </c>
      <c r="C15" s="8" t="inlineStr">
        <is>
          <t>FY26 ARR $2.1M x 8x</t>
        </is>
      </c>
      <c r="D15" s="8" t="inlineStr">
        <is>
          <t>Industry standard</t>
        </is>
      </c>
    </row>
    <row r="16">
      <c r="A16" s="10" t="inlineStr">
        <is>
          <t>DCF Analysis</t>
        </is>
      </c>
      <c r="B16" s="11" t="n">
        <v>18300000</v>
      </c>
      <c r="C16" s="10" t="inlineStr">
        <is>
          <t>22% discount rate, 4% terminal growth</t>
        </is>
      </c>
      <c r="D16" s="10" t="inlineStr">
        <is>
          <t>Conservative</t>
        </is>
      </c>
    </row>
    <row r="17">
      <c r="A17" s="8" t="inlineStr">
        <is>
          <t>Comparable Transactions</t>
        </is>
      </c>
      <c r="B17" s="6" t="n">
        <v>17000000</v>
      </c>
      <c r="C17" s="8" t="inlineStr">
        <is>
          <t>Indian HealthTech Series A median 2024</t>
        </is>
      </c>
      <c r="D17" s="8" t="inlineStr">
        <is>
          <t>Tracxn / Venture Intel</t>
        </is>
      </c>
    </row>
    <row r="18">
      <c r="A18" s="12" t="inlineStr">
        <is>
          <t>BLENDED VALUATION</t>
        </is>
      </c>
      <c r="B18" s="13" t="n">
        <v>17000000</v>
      </c>
      <c r="C18" s="12" t="inlineStr">
        <is>
          <t>Final pre-money (rounded)</t>
        </is>
      </c>
      <c r="D18" s="12" t="inlineStr">
        <is>
          <t>FINAL</t>
        </is>
      </c>
    </row>
    <row r="19" ht="8" customHeight="1"/>
    <row r="20">
      <c r="A20" s="14" t="inlineStr">
        <is>
          <t>3. KEY UNIT ECONOMICS</t>
        </is>
      </c>
    </row>
    <row r="21">
      <c r="A21" s="15" t="inlineStr">
        <is>
          <t>Metric</t>
        </is>
      </c>
      <c r="B21" s="15" t="inlineStr">
        <is>
          <t>Value</t>
        </is>
      </c>
      <c r="C21" s="15" t="inlineStr">
        <is>
          <t>Unit</t>
        </is>
      </c>
      <c r="D21" s="15" t="inlineStr">
        <is>
          <t>Commentary</t>
        </is>
      </c>
    </row>
    <row r="22">
      <c r="A22" s="5" t="inlineStr">
        <is>
          <t>LTV : CAC Ratio</t>
        </is>
      </c>
      <c r="B22" s="16" t="n">
        <v>14.8</v>
      </c>
      <c r="C22" s="7" t="inlineStr">
        <is>
          <t>x</t>
        </is>
      </c>
      <c r="D22" s="8" t="inlineStr">
        <is>
          <t>Industry benchmark &gt;3x — Excellent</t>
        </is>
      </c>
    </row>
    <row r="23">
      <c r="A23" s="5" t="inlineStr">
        <is>
          <t>Customer Acquisition Cost</t>
        </is>
      </c>
      <c r="B23" s="17" t="n">
        <v>4200</v>
      </c>
      <c r="C23" s="9" t="inlineStr">
        <is>
          <t>INR</t>
        </is>
      </c>
      <c r="D23" s="10" t="inlineStr">
        <is>
          <t>Hardware + sales cost per clinic</t>
        </is>
      </c>
    </row>
    <row r="24">
      <c r="A24" s="5" t="inlineStr">
        <is>
          <t>Lifetime Value (LTV)</t>
        </is>
      </c>
      <c r="B24" s="18" t="n">
        <v>62000</v>
      </c>
      <c r="C24" s="7" t="inlineStr">
        <is>
          <t>INR</t>
        </is>
      </c>
      <c r="D24" s="8" t="inlineStr">
        <is>
          <t>36-month average contract value</t>
        </is>
      </c>
    </row>
    <row r="25">
      <c r="A25" s="5" t="inlineStr">
        <is>
          <t>Payback Period</t>
        </is>
      </c>
      <c r="B25" s="19" t="n">
        <v>5.2</v>
      </c>
      <c r="C25" s="9" t="inlineStr">
        <is>
          <t>months</t>
        </is>
      </c>
      <c r="D25" s="10" t="inlineStr">
        <is>
          <t>Time to recover full CAC</t>
        </is>
      </c>
    </row>
    <row r="26">
      <c r="A26" s="5" t="inlineStr">
        <is>
          <t>Monthly Recurring Revenue</t>
        </is>
      </c>
      <c r="B26" s="18" t="n">
        <v>9860</v>
      </c>
      <c r="C26" s="7" t="inlineStr">
        <is>
          <t>USD</t>
        </is>
      </c>
      <c r="D26" s="8" t="inlineStr">
        <is>
          <t>As of December 2024</t>
        </is>
      </c>
    </row>
    <row r="27">
      <c r="A27" s="5" t="inlineStr">
        <is>
          <t>Gross Margin (latest)</t>
        </is>
      </c>
      <c r="B27" s="20" t="n">
        <v>0.506</v>
      </c>
      <c r="C27" s="9" t="inlineStr">
        <is>
          <t>%</t>
        </is>
      </c>
      <c r="D27" s="10" t="inlineStr">
        <is>
          <t>FY24-25 9-month figure</t>
        </is>
      </c>
    </row>
    <row r="28">
      <c r="A28" s="5" t="inlineStr">
        <is>
          <t>Burn Rate</t>
        </is>
      </c>
      <c r="B28" s="18" t="n">
        <v>850000</v>
      </c>
      <c r="C28" s="7" t="inlineStr">
        <is>
          <t>INR/mo</t>
        </is>
      </c>
      <c r="D28" s="8" t="inlineStr">
        <is>
          <t>Pre-Series A, January 2026</t>
        </is>
      </c>
    </row>
    <row r="29">
      <c r="A29" s="5" t="inlineStr">
        <is>
          <t>Runway (pre-raise)</t>
        </is>
      </c>
      <c r="B29" s="19" t="n">
        <v>14</v>
      </c>
      <c r="C29" s="9" t="inlineStr">
        <is>
          <t>months</t>
        </is>
      </c>
      <c r="D29" s="10" t="inlineStr">
        <is>
          <t>As of January 2026</t>
        </is>
      </c>
    </row>
  </sheetData>
  <mergeCells count="5">
    <mergeCell ref="A1:D1"/>
    <mergeCell ref="A4:D4"/>
    <mergeCell ref="A20:D20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1" t="inlineStr">
        <is>
          <t>NovaMed AI — Financial Model (INR Lakhs unless noted)</t>
        </is>
      </c>
    </row>
    <row r="2">
      <c r="A2" s="22" t="inlineStr">
        <is>
          <t>Source: Company projections. Blue = inputs, Black = formulas.</t>
        </is>
      </c>
    </row>
    <row r="3" ht="8" customHeight="1"/>
    <row r="4">
      <c r="A4" s="23" t="inlineStr">
        <is>
          <t>Metric</t>
        </is>
      </c>
      <c r="B4" s="23" t="inlineStr">
        <is>
          <t>FY22-23</t>
        </is>
      </c>
      <c r="C4" s="23" t="inlineStr">
        <is>
          <t>FY23-24</t>
        </is>
      </c>
      <c r="D4" s="23" t="inlineStr">
        <is>
          <t>FY24-25 (9M)</t>
        </is>
      </c>
      <c r="E4" s="23" t="inlineStr">
        <is>
          <t>FY25-26 (P)</t>
        </is>
      </c>
      <c r="F4" s="23" t="inlineStr">
        <is>
          <t>FY26-27 (P)</t>
        </is>
      </c>
      <c r="G4" s="23" t="inlineStr">
        <is>
          <t>FY27-28 (P)</t>
        </is>
      </c>
    </row>
    <row r="5" ht="16" customHeight="1">
      <c r="A5" s="24" t="inlineStr">
        <is>
          <t>REVENUE</t>
        </is>
      </c>
    </row>
    <row r="6">
      <c r="A6" s="25" t="inlineStr">
        <is>
          <t>Hardware Revenue (INR L)</t>
        </is>
      </c>
      <c r="B6" s="26" t="n">
        <v>7.4</v>
      </c>
      <c r="C6" s="26" t="n">
        <v>22.1</v>
      </c>
      <c r="D6" s="26" t="n">
        <v>38.2</v>
      </c>
      <c r="E6" s="26" t="n">
        <v>96</v>
      </c>
      <c r="F6" s="26" t="n">
        <v>264</v>
      </c>
      <c r="G6" s="26" t="n">
        <v>600</v>
      </c>
    </row>
    <row r="7">
      <c r="A7" s="27" t="inlineStr">
        <is>
          <t>SaaS Revenue (INR L)</t>
        </is>
      </c>
      <c r="B7" s="28" t="n">
        <v>5</v>
      </c>
      <c r="C7" s="28" t="n">
        <v>26.5</v>
      </c>
      <c r="D7" s="28" t="n">
        <v>47</v>
      </c>
      <c r="E7" s="28" t="n">
        <v>162</v>
      </c>
      <c r="F7" s="28" t="n">
        <v>501</v>
      </c>
      <c r="G7" s="28" t="n">
        <v>1140</v>
      </c>
    </row>
    <row r="8">
      <c r="A8" s="25" t="inlineStr">
        <is>
          <t>Other Revenue (INR L)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n">
        <v>0</v>
      </c>
      <c r="G8" s="26" t="n">
        <v>0</v>
      </c>
    </row>
    <row r="9">
      <c r="A9" s="29" t="inlineStr">
        <is>
          <t>TOTAL REVENUE (INR L)</t>
        </is>
      </c>
      <c r="B9" s="30">
        <f>B6+B7+B8</f>
        <v/>
      </c>
      <c r="C9" s="30">
        <f>C6+C7+C8</f>
        <v/>
      </c>
      <c r="D9" s="30">
        <f>D6+D7+D8</f>
        <v/>
      </c>
      <c r="E9" s="30">
        <f>E6+E7+E8</f>
        <v/>
      </c>
      <c r="F9" s="30">
        <f>F6+F7+F8</f>
        <v/>
      </c>
      <c r="G9" s="30">
        <f>G6+G7+G8</f>
        <v/>
      </c>
    </row>
    <row r="10" ht="16" customHeight="1">
      <c r="A10" s="24" t="inlineStr">
        <is>
          <t>COSTS</t>
        </is>
      </c>
    </row>
    <row r="11">
      <c r="A11" s="27" t="inlineStr">
        <is>
          <t>Cost of Goods Sold (INR L)</t>
        </is>
      </c>
      <c r="B11" s="28" t="n">
        <v>9.1</v>
      </c>
      <c r="C11" s="28" t="n">
        <v>28.3</v>
      </c>
      <c r="D11" s="28" t="n">
        <v>42.1</v>
      </c>
      <c r="E11" s="28" t="n">
        <v>129</v>
      </c>
      <c r="F11" s="28" t="n">
        <v>382.5</v>
      </c>
      <c r="G11" s="28" t="n">
        <v>696</v>
      </c>
    </row>
    <row r="12">
      <c r="A12" s="29" t="inlineStr">
        <is>
          <t>GROSS PROFIT (INR L)</t>
        </is>
      </c>
      <c r="B12" s="30">
        <f>B9-B11</f>
        <v/>
      </c>
      <c r="C12" s="30">
        <f>C9-C11</f>
        <v/>
      </c>
      <c r="D12" s="30">
        <f>D9-D11</f>
        <v/>
      </c>
      <c r="E12" s="30">
        <f>E9-E11</f>
        <v/>
      </c>
      <c r="F12" s="30">
        <f>F9-F11</f>
        <v/>
      </c>
      <c r="G12" s="30">
        <f>G9-G11</f>
        <v/>
      </c>
    </row>
    <row r="13">
      <c r="A13" s="27" t="inlineStr">
        <is>
          <t>Gross Margin %</t>
        </is>
      </c>
      <c r="B13" s="31">
        <f>IF(B9=0,0,B12/B9)</f>
        <v/>
      </c>
      <c r="C13" s="31">
        <f>IF(C9=0,0,C12/C9)</f>
        <v/>
      </c>
      <c r="D13" s="31">
        <f>IF(D9=0,0,D12/D9)</f>
        <v/>
      </c>
      <c r="E13" s="31">
        <f>IF(E9=0,0,E12/E9)</f>
        <v/>
      </c>
      <c r="F13" s="31">
        <f>IF(F9=0,0,F12/F9)</f>
        <v/>
      </c>
      <c r="G13" s="31">
        <f>IF(G9=0,0,G12/G9)</f>
        <v/>
      </c>
    </row>
    <row r="14" ht="16" customHeight="1">
      <c r="A14" s="24" t="inlineStr">
        <is>
          <t>OPERATING EXPENSES</t>
        </is>
      </c>
    </row>
    <row r="15">
      <c r="A15" s="27" t="inlineStr">
        <is>
          <t>Sales &amp; Marketing (INR L)</t>
        </is>
      </c>
      <c r="B15" s="28" t="n">
        <v>12.4</v>
      </c>
      <c r="C15" s="28" t="n">
        <v>28</v>
      </c>
      <c r="D15" s="28" t="n">
        <v>38.5</v>
      </c>
      <c r="E15" s="28" t="n">
        <v>90.3</v>
      </c>
      <c r="F15" s="28" t="n">
        <v>191.3</v>
      </c>
      <c r="G15" s="28" t="n">
        <v>348</v>
      </c>
    </row>
    <row r="16">
      <c r="A16" s="25" t="inlineStr">
        <is>
          <t>Research &amp; Development (INR L)</t>
        </is>
      </c>
      <c r="B16" s="26" t="n">
        <v>10.2</v>
      </c>
      <c r="C16" s="26" t="n">
        <v>18.6</v>
      </c>
      <c r="D16" s="26" t="n">
        <v>22.4</v>
      </c>
      <c r="E16" s="26" t="n">
        <v>75</v>
      </c>
      <c r="F16" s="26" t="n">
        <v>150</v>
      </c>
      <c r="G16" s="26" t="n">
        <v>260</v>
      </c>
    </row>
    <row r="17">
      <c r="A17" s="27" t="inlineStr">
        <is>
          <t>General &amp; Admin (INR L)</t>
        </is>
      </c>
      <c r="B17" s="28" t="n">
        <v>8.6</v>
      </c>
      <c r="C17" s="28" t="n">
        <v>15.8</v>
      </c>
      <c r="D17" s="28" t="n">
        <v>17.6</v>
      </c>
      <c r="E17" s="28" t="n">
        <v>36</v>
      </c>
      <c r="F17" s="28" t="n">
        <v>72</v>
      </c>
      <c r="G17" s="28" t="n">
        <v>130</v>
      </c>
    </row>
    <row r="18">
      <c r="A18" s="29" t="inlineStr">
        <is>
          <t>TOTAL OPEX (INR L)</t>
        </is>
      </c>
      <c r="B18" s="30">
        <f>B15+B16+B17</f>
        <v/>
      </c>
      <c r="C18" s="30">
        <f>C15+C16+C17</f>
        <v/>
      </c>
      <c r="D18" s="30">
        <f>D15+D16+D17</f>
        <v/>
      </c>
      <c r="E18" s="30">
        <f>E15+E16+E17</f>
        <v/>
      </c>
      <c r="F18" s="30">
        <f>F15+F16+F17</f>
        <v/>
      </c>
      <c r="G18" s="30">
        <f>G15+G16+G17</f>
        <v/>
      </c>
    </row>
    <row r="19" ht="16" customHeight="1">
      <c r="A19" s="24" t="inlineStr">
        <is>
          <t>PROFITABILITY</t>
        </is>
      </c>
    </row>
    <row r="20">
      <c r="A20" s="29" t="inlineStr">
        <is>
          <t>EBITDA (INR L)</t>
        </is>
      </c>
      <c r="B20" s="32">
        <f>B12-B18</f>
        <v/>
      </c>
      <c r="C20" s="32">
        <f>C12-C18</f>
        <v/>
      </c>
      <c r="D20" s="32">
        <f>D12-D18</f>
        <v/>
      </c>
      <c r="E20" s="32">
        <f>E12-E18</f>
        <v/>
      </c>
      <c r="F20" s="32">
        <f>F12-F18</f>
        <v/>
      </c>
      <c r="G20" s="32">
        <f>G12-G18</f>
        <v/>
      </c>
    </row>
    <row r="21">
      <c r="A21" s="27" t="inlineStr">
        <is>
          <t>EBITDA Margin %</t>
        </is>
      </c>
      <c r="B21" s="33">
        <f>IF(B9=0,0,B20/B9)</f>
        <v/>
      </c>
      <c r="C21" s="33">
        <f>IF(C9=0,0,C20/C9)</f>
        <v/>
      </c>
      <c r="D21" s="33">
        <f>IF(D9=0,0,D20/D9)</f>
        <v/>
      </c>
      <c r="E21" s="33">
        <f>IF(E9=0,0,E20/E9)</f>
        <v/>
      </c>
      <c r="F21" s="33">
        <f>IF(F9=0,0,F20/F9)</f>
        <v/>
      </c>
      <c r="G21" s="33">
        <f>IF(G9=0,0,G20/G9)</f>
        <v/>
      </c>
    </row>
    <row r="22" ht="16" customHeight="1">
      <c r="A22" s="24" t="inlineStr">
        <is>
          <t>KEY METRICS</t>
        </is>
      </c>
    </row>
    <row r="23">
      <c r="A23" s="27" t="inlineStr">
        <is>
          <t>Active Clinics (EOP)</t>
        </is>
      </c>
      <c r="B23" s="18" t="n">
        <v>42</v>
      </c>
      <c r="C23" s="18" t="n">
        <v>180</v>
      </c>
      <c r="D23" s="18" t="n">
        <v>340</v>
      </c>
      <c r="E23" s="18" t="n">
        <v>800</v>
      </c>
      <c r="F23" s="18" t="n">
        <v>2200</v>
      </c>
      <c r="G23" s="18" t="n">
        <v>5000</v>
      </c>
    </row>
    <row r="24">
      <c r="A24" s="25" t="inlineStr">
        <is>
          <t>MRR (USD)</t>
        </is>
      </c>
      <c r="B24" s="11" t="n">
        <v>1218</v>
      </c>
      <c r="C24" s="11" t="n">
        <v>5220</v>
      </c>
      <c r="D24" s="11" t="n">
        <v>9860</v>
      </c>
      <c r="E24" s="11" t="n">
        <v>23200</v>
      </c>
      <c r="F24" s="11" t="n">
        <v>63800</v>
      </c>
      <c r="G24" s="11" t="n">
        <v>145000</v>
      </c>
    </row>
    <row r="25">
      <c r="A25" s="27" t="inlineStr">
        <is>
          <t>YoY Revenue Growth</t>
        </is>
      </c>
      <c r="B25" s="33" t="inlineStr">
        <is>
          <t>-</t>
        </is>
      </c>
      <c r="C25" s="33">
        <f>IF(B9=0,0,(C9-B9)/B9)</f>
        <v/>
      </c>
      <c r="D25" s="33">
        <f>IF(C9=0,0,(D9-C9)/C9)</f>
        <v/>
      </c>
      <c r="E25" s="33">
        <f>IF(D9=0,0,(E9-D9)/D9)</f>
        <v/>
      </c>
      <c r="F25" s="33">
        <f>IF(E9=0,0,(F9-E9)/E9)</f>
        <v/>
      </c>
      <c r="G25" s="33">
        <f>IF(F9=0,0,(G9-F9)/F9)</f>
        <v/>
      </c>
    </row>
  </sheetData>
  <mergeCells count="7">
    <mergeCell ref="A14:G14"/>
    <mergeCell ref="A1:G1"/>
    <mergeCell ref="A22:G22"/>
    <mergeCell ref="A2:G2"/>
    <mergeCell ref="A19:G19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1" t="inlineStr">
        <is>
          <t>NovaMed AI — 5-Year Growth Projections</t>
        </is>
      </c>
    </row>
    <row r="2">
      <c r="A2" s="22" t="inlineStr">
        <is>
          <t>Fiscal Year runs April–March. All currency figures in USD unless noted.</t>
        </is>
      </c>
    </row>
    <row r="3" ht="8" customHeight="1"/>
    <row r="4">
      <c r="A4" s="23" t="inlineStr">
        <is>
          <t>Metric</t>
        </is>
      </c>
      <c r="B4" s="23" t="inlineStr">
        <is>
          <t>FY25-26</t>
        </is>
      </c>
      <c r="C4" s="23" t="inlineStr">
        <is>
          <t>FY26-27</t>
        </is>
      </c>
      <c r="D4" s="23" t="inlineStr">
        <is>
          <t>FY27-28</t>
        </is>
      </c>
      <c r="E4" s="23" t="inlineStr">
        <is>
          <t>FY28-29</t>
        </is>
      </c>
      <c r="F4" s="23" t="inlineStr">
        <is>
          <t>FY29-30</t>
        </is>
      </c>
    </row>
    <row r="5">
      <c r="A5" s="5" t="inlineStr">
        <is>
          <t>Active Clinics</t>
        </is>
      </c>
      <c r="B5" s="18" t="n">
        <v>800</v>
      </c>
      <c r="C5" s="18" t="n">
        <v>2200</v>
      </c>
      <c r="D5" s="18" t="n">
        <v>5000</v>
      </c>
      <c r="E5" s="18" t="n">
        <v>8500</v>
      </c>
      <c r="F5" s="18" t="n">
        <v>13000</v>
      </c>
    </row>
    <row r="6">
      <c r="A6" s="5" t="inlineStr">
        <is>
          <t>Revenue (USD)</t>
        </is>
      </c>
      <c r="B6" s="11" t="n">
        <v>310000</v>
      </c>
      <c r="C6" s="11" t="n">
        <v>920000</v>
      </c>
      <c r="D6" s="11" t="n">
        <v>2100000</v>
      </c>
      <c r="E6" s="11" t="n">
        <v>3800000</v>
      </c>
      <c r="F6" s="11" t="n">
        <v>6200000</v>
      </c>
    </row>
    <row r="7">
      <c r="A7" s="5" t="inlineStr">
        <is>
          <t>ARR (USD)</t>
        </is>
      </c>
      <c r="B7" s="6" t="n">
        <v>278400</v>
      </c>
      <c r="C7" s="6" t="n">
        <v>766800</v>
      </c>
      <c r="D7" s="6" t="n">
        <v>1740000</v>
      </c>
      <c r="E7" s="6" t="n">
        <v>2960000</v>
      </c>
      <c r="F7" s="6" t="n">
        <v>4520000</v>
      </c>
    </row>
    <row r="8">
      <c r="A8" s="5" t="inlineStr">
        <is>
          <t>Gross Margin</t>
        </is>
      </c>
      <c r="B8" s="20" t="n">
        <v>0.5</v>
      </c>
      <c r="C8" s="20" t="n">
        <v>0.5</v>
      </c>
      <c r="D8" s="20" t="n">
        <v>0.6</v>
      </c>
      <c r="E8" s="20" t="n">
        <v>0.62</v>
      </c>
      <c r="F8" s="20" t="n">
        <v>0.65</v>
      </c>
    </row>
    <row r="9">
      <c r="A9" s="5" t="inlineStr">
        <is>
          <t>EBITDA Margin</t>
        </is>
      </c>
      <c r="B9" s="34" t="n">
        <v>-0.28</v>
      </c>
      <c r="C9" s="34" t="n">
        <v>-0.04</v>
      </c>
      <c r="D9" s="35" t="n">
        <v>0.18</v>
      </c>
      <c r="E9" s="35" t="n">
        <v>0.24</v>
      </c>
      <c r="F9" s="35" t="n">
        <v>0.31</v>
      </c>
    </row>
    <row r="10">
      <c r="A10" s="5" t="inlineStr">
        <is>
          <t>Net New Clinics/Year</t>
        </is>
      </c>
      <c r="B10" s="17" t="n">
        <v>460</v>
      </c>
      <c r="C10" s="17" t="n">
        <v>1400</v>
      </c>
      <c r="D10" s="17" t="n">
        <v>2800</v>
      </c>
      <c r="E10" s="17" t="n">
        <v>3500</v>
      </c>
      <c r="F10" s="17" t="n">
        <v>4500</v>
      </c>
    </row>
    <row r="11">
      <c r="A11" s="5" t="inlineStr">
        <is>
          <t>Headcount</t>
        </is>
      </c>
      <c r="B11" s="18" t="n">
        <v>65</v>
      </c>
      <c r="C11" s="18" t="n">
        <v>120</v>
      </c>
      <c r="D11" s="18" t="n">
        <v>210</v>
      </c>
      <c r="E11" s="18" t="n">
        <v>350</v>
      </c>
      <c r="F11" s="18" t="n">
        <v>520</v>
      </c>
    </row>
    <row r="12">
      <c r="A12" s="5" t="inlineStr">
        <is>
          <t>States Operating In</t>
        </is>
      </c>
      <c r="B12" s="17" t="n">
        <v>9</v>
      </c>
      <c r="C12" s="17" t="n">
        <v>12</v>
      </c>
      <c r="D12" s="17" t="n">
        <v>16</v>
      </c>
      <c r="E12" s="17" t="n">
        <v>18</v>
      </c>
      <c r="F12" s="17" t="n">
        <v>22</v>
      </c>
    </row>
    <row r="13">
      <c r="A13" s="5" t="inlineStr">
        <is>
          <t>MRR (USD)</t>
        </is>
      </c>
      <c r="B13" s="6" t="n">
        <v>23200</v>
      </c>
      <c r="C13" s="6" t="n">
        <v>63800</v>
      </c>
      <c r="D13" s="6" t="n">
        <v>145000</v>
      </c>
      <c r="E13" s="6" t="n">
        <v>261700</v>
      </c>
      <c r="F13" s="6" t="n">
        <v>428500</v>
      </c>
    </row>
    <row r="14">
      <c r="A14" s="5" t="inlineStr">
        <is>
          <t>CAC (INR)</t>
        </is>
      </c>
      <c r="B14" s="17" t="n">
        <v>4200</v>
      </c>
      <c r="C14" s="17" t="n">
        <v>3800</v>
      </c>
      <c r="D14" s="17" t="n">
        <v>3200</v>
      </c>
      <c r="E14" s="17" t="n">
        <v>2800</v>
      </c>
      <c r="F14" s="17" t="n">
        <v>2500</v>
      </c>
    </row>
    <row r="15">
      <c r="A15" s="5" t="inlineStr">
        <is>
          <t>LTV:CAC Ratio</t>
        </is>
      </c>
      <c r="B15" s="16" t="n">
        <v>14.8</v>
      </c>
      <c r="C15" s="16" t="n">
        <v>17.2</v>
      </c>
      <c r="D15" s="16" t="n">
        <v>20.5</v>
      </c>
      <c r="E15" s="16" t="n">
        <v>24.1</v>
      </c>
      <c r="F15" s="16" t="n">
        <v>28</v>
      </c>
    </row>
    <row r="16">
      <c r="A16" s="5" t="inlineStr">
        <is>
          <t>Payback (months)</t>
        </is>
      </c>
      <c r="B16" s="36" t="n">
        <v>5.2</v>
      </c>
      <c r="C16" s="36" t="n">
        <v>4.8</v>
      </c>
      <c r="D16" s="36" t="n">
        <v>4.2</v>
      </c>
      <c r="E16" s="36" t="n">
        <v>3.8</v>
      </c>
      <c r="F16" s="36" t="n">
        <v>3.4</v>
      </c>
    </row>
    <row r="17">
      <c r="A17" s="5" t="inlineStr">
        <is>
          <t>Series B Readiness</t>
        </is>
      </c>
      <c r="B17" s="37" t="inlineStr">
        <is>
          <t>No</t>
        </is>
      </c>
      <c r="C17" s="37" t="inlineStr">
        <is>
          <t>No</t>
        </is>
      </c>
      <c r="D17" s="37" t="inlineStr">
        <is>
          <t>Yes</t>
        </is>
      </c>
      <c r="E17" s="37" t="inlineStr">
        <is>
          <t>Yes</t>
        </is>
      </c>
      <c r="F17" s="37" t="inlineStr">
        <is>
          <t>Yes</t>
        </is>
      </c>
    </row>
    <row r="20">
      <c r="A20" s="14" t="inlineStr">
        <is>
          <t>KEY MILESTONES</t>
        </is>
      </c>
    </row>
    <row r="21">
      <c r="A21" s="15" t="inlineStr">
        <is>
          <t>Period</t>
        </is>
      </c>
      <c r="B21" s="15" t="inlineStr">
        <is>
          <t>Milestone</t>
        </is>
      </c>
      <c r="C21" s="38" t="n"/>
      <c r="D21" s="38" t="n"/>
      <c r="E21" s="38" t="n"/>
      <c r="F21" s="39" t="n"/>
    </row>
    <row r="22" ht="18" customHeight="1">
      <c r="A22" s="40" t="inlineStr">
        <is>
          <t>Q1 FY26</t>
        </is>
      </c>
      <c r="B22" s="41" t="inlineStr">
        <is>
          <t>Close Series A | Hire 40 field reps | Launch UP, Bihar, Madhya Pradesh</t>
        </is>
      </c>
    </row>
    <row r="23" ht="18" customHeight="1">
      <c r="A23" s="40" t="inlineStr">
        <is>
          <t>Q2 FY26</t>
        </is>
      </c>
      <c r="B23" s="42" t="inlineStr">
        <is>
          <t>NovaScan v2 launch (ECG + SpO2 modules) | CDSCO Class B Approval</t>
        </is>
      </c>
    </row>
    <row r="24" ht="18" customHeight="1">
      <c r="A24" s="40" t="inlineStr">
        <is>
          <t>Q3 FY26</t>
        </is>
      </c>
      <c r="B24" s="41" t="inlineStr">
        <is>
          <t>Reach 1,000 active clinics | Insurance data product with 3 partners</t>
        </is>
      </c>
    </row>
    <row r="25" ht="18" customHeight="1">
      <c r="A25" s="40" t="inlineStr">
        <is>
          <t>Q4 FY26</t>
        </is>
      </c>
      <c r="B25" s="42" t="inlineStr">
        <is>
          <t>Southeast Asia pilot in Bangladesh and Sri Lanka | File PCT patent</t>
        </is>
      </c>
    </row>
    <row r="26" ht="18" customHeight="1">
      <c r="A26" s="40" t="inlineStr">
        <is>
          <t>FY2027</t>
        </is>
      </c>
      <c r="B26" s="41" t="inlineStr">
        <is>
          <t>EBITDA breakeven at 2,200 clinics | Explore Series B fundraise</t>
        </is>
      </c>
    </row>
    <row r="27" ht="18" customHeight="1">
      <c r="A27" s="40" t="inlineStr">
        <is>
          <t>FY2028</t>
        </is>
      </c>
      <c r="B27" s="42" t="inlineStr">
        <is>
          <t>5,000 clinics active | USD 2.1M revenue | 3 international markets live</t>
        </is>
      </c>
    </row>
  </sheetData>
  <mergeCells count="10">
    <mergeCell ref="B21:F21"/>
    <mergeCell ref="A2:F2"/>
    <mergeCell ref="B24:F24"/>
    <mergeCell ref="A1:F1"/>
    <mergeCell ref="B25:F25"/>
    <mergeCell ref="B23:F23"/>
    <mergeCell ref="B22:F22"/>
    <mergeCell ref="A20:F20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2026-03-01T18:30:49Z</dcterms:created>
  <dcterms:modified xmlns:dcterms="http://purl.org/dc/terms/" xmlns:xsi="http://www.w3.org/2001/XMLSchema-instance" xsi:type="dcterms:W3CDTF">2026-03-01T18:30:49Z</dcterms:modified>
</cp:coreProperties>
</file>